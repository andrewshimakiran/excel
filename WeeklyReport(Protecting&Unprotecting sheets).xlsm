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240" yWindow="570" windowWidth="28455" windowHeight="11955"/>
  </bookViews>
  <sheets>
    <sheet name="Closed Incidents_Raw" sheetId="1" r:id="rId1"/>
    <sheet name="Report Format" sheetId="2" r:id="rId2"/>
    <sheet name="AvgCalculation" sheetId="3" r:id="rId3"/>
  </sheets>
  <definedNames>
    <definedName name="_xlnm._FilterDatabase" localSheetId="1" hidden="1">'Report Format'!$A$1:$J$21</definedName>
  </definedNames>
  <calcPr calcId="124519"/>
</workbook>
</file>

<file path=xl/calcChain.xml><?xml version="1.0" encoding="utf-8"?>
<calcChain xmlns="http://schemas.openxmlformats.org/spreadsheetml/2006/main">
  <c r="S7" i="3"/>
  <c r="S6"/>
  <c r="S5"/>
  <c r="R7"/>
  <c r="R6"/>
  <c r="R5"/>
  <c r="K7"/>
  <c r="K6"/>
  <c r="K5"/>
  <c r="D5"/>
  <c r="I21" i="2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I4"/>
  <c r="J4" s="1"/>
  <c r="I3"/>
  <c r="J3" s="1"/>
  <c r="I2"/>
  <c r="J2" s="1"/>
  <c r="H21" i="1"/>
  <c r="I21" s="1"/>
  <c r="H20"/>
  <c r="I20" s="1"/>
  <c r="H19"/>
  <c r="I19" s="1"/>
  <c r="H18"/>
  <c r="I18" s="1"/>
  <c r="H17"/>
  <c r="I17" s="1"/>
  <c r="H16"/>
  <c r="I16" s="1"/>
  <c r="H15"/>
  <c r="I15" s="1"/>
  <c r="H14"/>
  <c r="I14" s="1"/>
  <c r="H13"/>
  <c r="I13" s="1"/>
  <c r="H12"/>
  <c r="I12" s="1"/>
  <c r="H11"/>
  <c r="I11" s="1"/>
  <c r="H10"/>
  <c r="I10" s="1"/>
  <c r="H9"/>
  <c r="I9" s="1"/>
  <c r="H8"/>
  <c r="I8" s="1"/>
  <c r="H7"/>
  <c r="I7" s="1"/>
  <c r="H6"/>
  <c r="I6" s="1"/>
  <c r="H5"/>
  <c r="I5" s="1"/>
  <c r="H4"/>
  <c r="I4" s="1"/>
  <c r="H3"/>
  <c r="I3" s="1"/>
  <c r="H2"/>
  <c r="I2" s="1"/>
</calcChain>
</file>

<file path=xl/sharedStrings.xml><?xml version="1.0" encoding="utf-8"?>
<sst xmlns="http://schemas.openxmlformats.org/spreadsheetml/2006/main" count="253" uniqueCount="53">
  <si>
    <t>Incident ID</t>
  </si>
  <si>
    <t>Company</t>
  </si>
  <si>
    <t>Priority</t>
  </si>
  <si>
    <t>Open Time</t>
  </si>
  <si>
    <t>Resolved by</t>
  </si>
  <si>
    <t>Status</t>
  </si>
  <si>
    <t>Resolved Time</t>
  </si>
  <si>
    <t>Time Spent</t>
  </si>
  <si>
    <t>TTR</t>
  </si>
  <si>
    <t>N-IM032663567</t>
  </si>
  <si>
    <t>AIM</t>
  </si>
  <si>
    <t>4 - Low</t>
  </si>
  <si>
    <t>ASIAPACIFIC_RAMANKAL</t>
  </si>
  <si>
    <t>Closed</t>
  </si>
  <si>
    <t>N-IM032686983</t>
  </si>
  <si>
    <t>3 - Average</t>
  </si>
  <si>
    <t>N-IM032749875</t>
  </si>
  <si>
    <t>ASIAPACIFIC_RAJPRAVE</t>
  </si>
  <si>
    <t>N-IM032788281</t>
  </si>
  <si>
    <t>ASIAPACIFIC_BHARASUN</t>
  </si>
  <si>
    <t>N-IM032798013</t>
  </si>
  <si>
    <t>2 - High</t>
  </si>
  <si>
    <t>RBA-AGENT</t>
  </si>
  <si>
    <t>N-IM032798205</t>
  </si>
  <si>
    <t>N-IM032798942</t>
  </si>
  <si>
    <t>N-IM032815628</t>
  </si>
  <si>
    <t>BNTP</t>
  </si>
  <si>
    <t>ASIAPACIFIC_RAMAIALA</t>
  </si>
  <si>
    <t>N-IM032817706</t>
  </si>
  <si>
    <t>N-IM032817801</t>
  </si>
  <si>
    <t>N-IM032817905</t>
  </si>
  <si>
    <t>N-IM032818039</t>
  </si>
  <si>
    <t>N-IM032818229</t>
  </si>
  <si>
    <t>N-IM032826318</t>
  </si>
  <si>
    <t>E-IM030393124</t>
  </si>
  <si>
    <t>AONUK</t>
  </si>
  <si>
    <t>ASIAPACIFIC_KVINE</t>
  </si>
  <si>
    <t>E-IM030393384</t>
  </si>
  <si>
    <t>E-IM030393490</t>
  </si>
  <si>
    <t>E-IM030396198</t>
  </si>
  <si>
    <t>E-IM030419329</t>
  </si>
  <si>
    <t>ASIAPACIFIC_KVIVEKA</t>
  </si>
  <si>
    <t>E-IM030426009</t>
  </si>
  <si>
    <t>ABOPERATOR</t>
  </si>
  <si>
    <t>1.Condition</t>
  </si>
  <si>
    <t>Human/Automation</t>
  </si>
  <si>
    <t>2.condition</t>
  </si>
  <si>
    <t>3.condition</t>
  </si>
  <si>
    <t>AvgTTR</t>
  </si>
  <si>
    <t>Avg TTR</t>
  </si>
  <si>
    <t>HumanAgent</t>
  </si>
  <si>
    <t>Automation</t>
  </si>
  <si>
    <t>Human</t>
  </si>
</sst>
</file>

<file path=xl/styles.xml><?xml version="1.0" encoding="utf-8"?>
<styleSheet xmlns="http://schemas.openxmlformats.org/spreadsheetml/2006/main">
  <numFmts count="1">
    <numFmt numFmtId="164" formatCode="0.0"/>
  </numFmts>
  <fonts count="3">
    <font>
      <sz val="11"/>
      <color rgb="FF000000"/>
      <name val="Calibri"/>
    </font>
    <font>
      <sz val="11"/>
      <color rgb="FF00206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0" fillId="0" borderId="0" xfId="0" applyFont="1"/>
    <xf numFmtId="22" fontId="0" fillId="0" borderId="0" xfId="0" applyNumberFormat="1" applyFont="1"/>
    <xf numFmtId="0" fontId="0" fillId="0" borderId="1" xfId="0" applyFont="1" applyBorder="1"/>
    <xf numFmtId="0" fontId="0" fillId="0" borderId="1" xfId="0" applyFont="1" applyBorder="1" applyAlignment="1"/>
    <xf numFmtId="22" fontId="0" fillId="0" borderId="1" xfId="0" applyNumberFormat="1" applyFont="1" applyBorder="1"/>
    <xf numFmtId="0" fontId="1" fillId="2" borderId="1" xfId="0" applyFont="1" applyFill="1" applyBorder="1"/>
    <xf numFmtId="0" fontId="1" fillId="2" borderId="1" xfId="0" applyFont="1" applyFill="1" applyBorder="1" applyAlignment="1"/>
    <xf numFmtId="0" fontId="2" fillId="0" borderId="1" xfId="0" applyFont="1" applyBorder="1" applyAlignment="1"/>
    <xf numFmtId="164" fontId="0" fillId="0" borderId="1" xfId="0" applyNumberFormat="1" applyFont="1" applyBorder="1" applyAlignment="1"/>
    <xf numFmtId="2" fontId="0" fillId="0" borderId="1" xfId="0" applyNumberFormat="1" applyFont="1" applyBorder="1" applyAlignment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/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0"/>
  <sheetViews>
    <sheetView tabSelected="1" workbookViewId="0">
      <selection activeCell="H14" sqref="H14"/>
    </sheetView>
  </sheetViews>
  <sheetFormatPr defaultColWidth="14.42578125" defaultRowHeight="15" customHeight="1"/>
  <cols>
    <col min="1" max="1" width="19.5703125" customWidth="1"/>
    <col min="2" max="2" width="16" customWidth="1"/>
    <col min="3" max="3" width="15.85546875" customWidth="1"/>
    <col min="4" max="4" width="25.7109375" customWidth="1"/>
    <col min="5" max="5" width="24.5703125" customWidth="1"/>
    <col min="6" max="6" width="8.28515625" customWidth="1"/>
    <col min="7" max="7" width="15.7109375" customWidth="1"/>
    <col min="8" max="8" width="12.28515625" customWidth="1"/>
    <col min="9" max="11" width="8.7109375" customWidth="1"/>
  </cols>
  <sheetData>
    <row r="1" spans="1:9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t="s">
        <v>7</v>
      </c>
      <c r="I1" t="s">
        <v>8</v>
      </c>
    </row>
    <row r="2" spans="1:9" ht="14.25" customHeight="1">
      <c r="A2" t="s">
        <v>9</v>
      </c>
      <c r="B2" t="s">
        <v>10</v>
      </c>
      <c r="C2" t="s">
        <v>11</v>
      </c>
      <c r="D2" s="2">
        <v>43951.022118055553</v>
      </c>
      <c r="E2" t="s">
        <v>12</v>
      </c>
      <c r="F2" t="s">
        <v>13</v>
      </c>
      <c r="G2" s="2">
        <v>43959.500162037039</v>
      </c>
      <c r="H2">
        <f t="shared" ref="H2:H21" si="0">G2-D2</f>
        <v>8.4780439814858255</v>
      </c>
      <c r="I2">
        <f t="shared" ref="I2:I21" si="1">H2*24*60</f>
        <v>12208.383333339589</v>
      </c>
    </row>
    <row r="3" spans="1:9" ht="14.25" customHeight="1">
      <c r="A3" t="s">
        <v>14</v>
      </c>
      <c r="B3" t="s">
        <v>10</v>
      </c>
      <c r="C3" t="s">
        <v>15</v>
      </c>
      <c r="D3" s="2">
        <v>43953.567245370374</v>
      </c>
      <c r="E3" t="s">
        <v>12</v>
      </c>
      <c r="F3" t="s">
        <v>13</v>
      </c>
      <c r="G3" s="2">
        <v>43959.573807870373</v>
      </c>
      <c r="H3" s="1">
        <f t="shared" si="0"/>
        <v>6.0065624999988358</v>
      </c>
      <c r="I3" s="1">
        <f t="shared" si="1"/>
        <v>8649.4499999983236</v>
      </c>
    </row>
    <row r="4" spans="1:9" ht="14.25" customHeight="1">
      <c r="A4" t="s">
        <v>16</v>
      </c>
      <c r="B4" t="s">
        <v>10</v>
      </c>
      <c r="C4" t="s">
        <v>15</v>
      </c>
      <c r="D4" s="2">
        <v>43960.07472222222</v>
      </c>
      <c r="E4" t="s">
        <v>17</v>
      </c>
      <c r="F4" t="s">
        <v>13</v>
      </c>
      <c r="G4" s="2">
        <v>43961.926030092596</v>
      </c>
      <c r="H4" s="1">
        <f t="shared" si="0"/>
        <v>1.8513078703763313</v>
      </c>
      <c r="I4" s="1">
        <f t="shared" si="1"/>
        <v>2665.883333341917</v>
      </c>
    </row>
    <row r="5" spans="1:9" ht="14.25" customHeight="1">
      <c r="A5" t="s">
        <v>18</v>
      </c>
      <c r="B5" t="s">
        <v>10</v>
      </c>
      <c r="C5" t="s">
        <v>15</v>
      </c>
      <c r="D5" s="2">
        <v>43964.088449074072</v>
      </c>
      <c r="E5" t="s">
        <v>19</v>
      </c>
      <c r="F5" t="s">
        <v>13</v>
      </c>
      <c r="G5" s="2">
        <v>43964.304108796299</v>
      </c>
      <c r="H5" s="1">
        <f t="shared" si="0"/>
        <v>0.21565972222742857</v>
      </c>
      <c r="I5" s="1">
        <f t="shared" si="1"/>
        <v>310.55000000749715</v>
      </c>
    </row>
    <row r="6" spans="1:9" ht="14.25" customHeight="1">
      <c r="A6" t="s">
        <v>20</v>
      </c>
      <c r="B6" t="s">
        <v>10</v>
      </c>
      <c r="C6" t="s">
        <v>21</v>
      </c>
      <c r="D6" s="2">
        <v>43965.217881944445</v>
      </c>
      <c r="E6" t="s">
        <v>22</v>
      </c>
      <c r="F6" t="s">
        <v>13</v>
      </c>
      <c r="G6" s="2">
        <v>43965.219837962963</v>
      </c>
      <c r="H6" s="1">
        <f t="shared" si="0"/>
        <v>1.9560185173759237E-3</v>
      </c>
      <c r="I6" s="1">
        <f t="shared" si="1"/>
        <v>2.8166666650213301</v>
      </c>
    </row>
    <row r="7" spans="1:9" ht="14.25" customHeight="1">
      <c r="A7" t="s">
        <v>23</v>
      </c>
      <c r="B7" t="s">
        <v>10</v>
      </c>
      <c r="C7" t="s">
        <v>21</v>
      </c>
      <c r="D7" s="2">
        <v>43965.221932870372</v>
      </c>
      <c r="E7" t="s">
        <v>22</v>
      </c>
      <c r="F7" t="s">
        <v>13</v>
      </c>
      <c r="G7" s="2">
        <v>43965.225428240738</v>
      </c>
      <c r="H7" s="1">
        <f t="shared" si="0"/>
        <v>3.4953703652718104E-3</v>
      </c>
      <c r="I7" s="1">
        <f t="shared" si="1"/>
        <v>5.033333325991407</v>
      </c>
    </row>
    <row r="8" spans="1:9" ht="14.25" customHeight="1">
      <c r="A8" t="s">
        <v>24</v>
      </c>
      <c r="B8" t="s">
        <v>10</v>
      </c>
      <c r="C8" t="s">
        <v>15</v>
      </c>
      <c r="D8" s="2">
        <v>43965.266041666669</v>
      </c>
      <c r="E8" t="s">
        <v>22</v>
      </c>
      <c r="F8" t="s">
        <v>13</v>
      </c>
      <c r="G8" s="2">
        <v>43965.267465277779</v>
      </c>
      <c r="H8" s="1">
        <f t="shared" si="0"/>
        <v>1.4236111092031933E-3</v>
      </c>
      <c r="I8" s="1">
        <f t="shared" si="1"/>
        <v>2.0499999972525984</v>
      </c>
    </row>
    <row r="9" spans="1:9" ht="14.25" customHeight="1">
      <c r="A9" t="s">
        <v>25</v>
      </c>
      <c r="B9" t="s">
        <v>26</v>
      </c>
      <c r="C9" t="s">
        <v>21</v>
      </c>
      <c r="D9" s="2">
        <v>43966.998645833337</v>
      </c>
      <c r="E9" t="s">
        <v>27</v>
      </c>
      <c r="F9" t="s">
        <v>13</v>
      </c>
      <c r="G9" s="2">
        <v>43967.008888888886</v>
      </c>
      <c r="H9" s="1">
        <f t="shared" si="0"/>
        <v>1.024305554892635E-2</v>
      </c>
      <c r="I9" s="1">
        <f t="shared" si="1"/>
        <v>14.749999990453944</v>
      </c>
    </row>
    <row r="10" spans="1:9" ht="14.25" customHeight="1">
      <c r="A10" t="s">
        <v>28</v>
      </c>
      <c r="B10" t="s">
        <v>26</v>
      </c>
      <c r="C10" t="s">
        <v>21</v>
      </c>
      <c r="D10" s="2">
        <v>43967.245115740741</v>
      </c>
      <c r="E10" t="s">
        <v>27</v>
      </c>
      <c r="F10" t="s">
        <v>13</v>
      </c>
      <c r="G10" s="2">
        <v>43967.252118055556</v>
      </c>
      <c r="H10" s="1">
        <f t="shared" si="0"/>
        <v>7.0023148145992309E-3</v>
      </c>
      <c r="I10" s="1">
        <f t="shared" si="1"/>
        <v>10.083333333022892</v>
      </c>
    </row>
    <row r="11" spans="1:9" ht="14.25" customHeight="1">
      <c r="A11" t="s">
        <v>29</v>
      </c>
      <c r="B11" t="s">
        <v>26</v>
      </c>
      <c r="C11" t="s">
        <v>21</v>
      </c>
      <c r="D11" s="2">
        <v>43967.245115740741</v>
      </c>
      <c r="E11" t="s">
        <v>27</v>
      </c>
      <c r="F11" t="s">
        <v>13</v>
      </c>
      <c r="G11" s="2">
        <v>43967.252291666664</v>
      </c>
      <c r="H11" s="1">
        <f t="shared" si="0"/>
        <v>7.175925922638271E-3</v>
      </c>
      <c r="I11" s="1">
        <f t="shared" si="1"/>
        <v>10.33333332859911</v>
      </c>
    </row>
    <row r="12" spans="1:9" ht="14.25" customHeight="1">
      <c r="A12" t="s">
        <v>30</v>
      </c>
      <c r="B12" t="s">
        <v>26</v>
      </c>
      <c r="C12" t="s">
        <v>21</v>
      </c>
      <c r="D12" s="2">
        <v>43967.244780092595</v>
      </c>
      <c r="E12" t="s">
        <v>27</v>
      </c>
      <c r="F12" t="s">
        <v>13</v>
      </c>
      <c r="G12" s="2">
        <v>43967.251979166664</v>
      </c>
      <c r="H12" s="1">
        <f t="shared" si="0"/>
        <v>7.1990740689216182E-3</v>
      </c>
      <c r="I12" s="1">
        <f t="shared" si="1"/>
        <v>10.36666665924713</v>
      </c>
    </row>
    <row r="13" spans="1:9" ht="14.25" customHeight="1">
      <c r="A13" t="s">
        <v>31</v>
      </c>
      <c r="B13" t="s">
        <v>26</v>
      </c>
      <c r="C13" t="s">
        <v>21</v>
      </c>
      <c r="D13" s="2">
        <v>43967.245243055557</v>
      </c>
      <c r="E13" t="s">
        <v>22</v>
      </c>
      <c r="F13" t="s">
        <v>13</v>
      </c>
      <c r="G13" s="2">
        <v>43967.247523148151</v>
      </c>
      <c r="H13" s="1">
        <f t="shared" si="0"/>
        <v>2.2800925944466144E-3</v>
      </c>
      <c r="I13" s="1">
        <f t="shared" si="1"/>
        <v>3.2833333360031247</v>
      </c>
    </row>
    <row r="14" spans="1:9" ht="14.25" customHeight="1">
      <c r="A14" t="s">
        <v>32</v>
      </c>
      <c r="B14" t="s">
        <v>26</v>
      </c>
      <c r="C14" t="s">
        <v>21</v>
      </c>
      <c r="D14" s="2">
        <v>43967.245057870372</v>
      </c>
      <c r="E14" t="s">
        <v>27</v>
      </c>
      <c r="F14" t="s">
        <v>13</v>
      </c>
      <c r="G14" s="2">
        <v>43967.251770833333</v>
      </c>
      <c r="H14" s="1">
        <f t="shared" si="0"/>
        <v>6.7129629605915397E-3</v>
      </c>
      <c r="I14" s="1">
        <f t="shared" si="1"/>
        <v>9.6666666632518172</v>
      </c>
    </row>
    <row r="15" spans="1:9" ht="14.25" customHeight="1">
      <c r="A15" t="s">
        <v>33</v>
      </c>
      <c r="B15" t="s">
        <v>26</v>
      </c>
      <c r="C15" t="s">
        <v>15</v>
      </c>
      <c r="D15" s="2">
        <v>43968.336770833332</v>
      </c>
      <c r="E15" t="s">
        <v>22</v>
      </c>
      <c r="F15" t="s">
        <v>13</v>
      </c>
      <c r="G15" s="2">
        <v>43968.350208333337</v>
      </c>
      <c r="H15" s="1">
        <f t="shared" si="0"/>
        <v>1.3437500005238689E-2</v>
      </c>
      <c r="I15" s="1">
        <f t="shared" si="1"/>
        <v>19.350000007543713</v>
      </c>
    </row>
    <row r="16" spans="1:9" ht="14.25" customHeight="1">
      <c r="A16" t="s">
        <v>34</v>
      </c>
      <c r="B16" t="s">
        <v>35</v>
      </c>
      <c r="C16" t="s">
        <v>11</v>
      </c>
      <c r="D16" s="2">
        <v>43962.572129629632</v>
      </c>
      <c r="E16" t="s">
        <v>36</v>
      </c>
      <c r="F16" t="s">
        <v>13</v>
      </c>
      <c r="G16" s="2">
        <v>43962.750324074077</v>
      </c>
      <c r="H16" s="1">
        <f t="shared" si="0"/>
        <v>0.17819444444467081</v>
      </c>
      <c r="I16" s="1">
        <f t="shared" si="1"/>
        <v>256.60000000032596</v>
      </c>
    </row>
    <row r="17" spans="1:9" ht="14.25" customHeight="1">
      <c r="A17" t="s">
        <v>37</v>
      </c>
      <c r="B17" t="s">
        <v>35</v>
      </c>
      <c r="C17" t="s">
        <v>11</v>
      </c>
      <c r="D17" s="2">
        <v>43962.562442129631</v>
      </c>
      <c r="E17" t="s">
        <v>19</v>
      </c>
      <c r="F17" t="s">
        <v>13</v>
      </c>
      <c r="G17" s="2">
        <v>43964.349027777775</v>
      </c>
      <c r="H17" s="1">
        <f t="shared" si="0"/>
        <v>1.786585648143955</v>
      </c>
      <c r="I17" s="1">
        <f t="shared" si="1"/>
        <v>2572.6833333272953</v>
      </c>
    </row>
    <row r="18" spans="1:9" ht="14.25" customHeight="1">
      <c r="A18" t="s">
        <v>38</v>
      </c>
      <c r="B18" t="s">
        <v>35</v>
      </c>
      <c r="C18" t="s">
        <v>11</v>
      </c>
      <c r="D18" s="2">
        <v>43962.572094907409</v>
      </c>
      <c r="E18" t="s">
        <v>36</v>
      </c>
      <c r="F18" t="s">
        <v>13</v>
      </c>
      <c r="G18" s="2">
        <v>43962.754930555559</v>
      </c>
      <c r="H18" s="1">
        <f t="shared" si="0"/>
        <v>0.18283564814919373</v>
      </c>
      <c r="I18" s="1">
        <f t="shared" si="1"/>
        <v>263.28333333483897</v>
      </c>
    </row>
    <row r="19" spans="1:9" ht="14.25" customHeight="1">
      <c r="A19" t="s">
        <v>39</v>
      </c>
      <c r="B19" t="s">
        <v>35</v>
      </c>
      <c r="C19" t="s">
        <v>11</v>
      </c>
      <c r="D19" s="2">
        <v>43963.014490740738</v>
      </c>
      <c r="E19" t="s">
        <v>19</v>
      </c>
      <c r="F19" t="s">
        <v>13</v>
      </c>
      <c r="G19" s="2">
        <v>43963.315335648149</v>
      </c>
      <c r="H19" s="1">
        <f t="shared" si="0"/>
        <v>0.30084490741137415</v>
      </c>
      <c r="I19" s="1">
        <f t="shared" si="1"/>
        <v>433.21666667237878</v>
      </c>
    </row>
    <row r="20" spans="1:9" ht="14.25" customHeight="1">
      <c r="A20" t="s">
        <v>40</v>
      </c>
      <c r="B20" t="s">
        <v>35</v>
      </c>
      <c r="C20" t="s">
        <v>11</v>
      </c>
      <c r="D20" s="2">
        <v>43966.547800925924</v>
      </c>
      <c r="E20" t="s">
        <v>41</v>
      </c>
      <c r="F20" t="s">
        <v>13</v>
      </c>
      <c r="G20" s="2">
        <v>43966.572175925925</v>
      </c>
      <c r="H20" s="1">
        <f t="shared" si="0"/>
        <v>2.4375000000873115E-2</v>
      </c>
      <c r="I20" s="1">
        <f t="shared" si="1"/>
        <v>35.100000001257285</v>
      </c>
    </row>
    <row r="21" spans="1:9" ht="14.25" customHeight="1">
      <c r="A21" t="s">
        <v>42</v>
      </c>
      <c r="B21" t="s">
        <v>35</v>
      </c>
      <c r="C21" t="s">
        <v>11</v>
      </c>
      <c r="D21" s="2">
        <v>43968.045011574075</v>
      </c>
      <c r="E21" t="s">
        <v>43</v>
      </c>
      <c r="F21" t="s">
        <v>13</v>
      </c>
      <c r="G21" s="2">
        <v>43968.555983796294</v>
      </c>
      <c r="H21" s="1">
        <f t="shared" si="0"/>
        <v>0.51097222221869742</v>
      </c>
      <c r="I21" s="1">
        <f t="shared" si="1"/>
        <v>735.79999999492429</v>
      </c>
    </row>
    <row r="22" spans="1:9" ht="14.25" customHeight="1"/>
    <row r="23" spans="1:9" ht="14.25" customHeight="1"/>
    <row r="24" spans="1:9" ht="14.25" customHeight="1"/>
    <row r="25" spans="1:9" ht="14.25" customHeight="1"/>
    <row r="26" spans="1:9" ht="14.25" customHeight="1"/>
    <row r="27" spans="1:9" ht="14.25" customHeight="1"/>
    <row r="28" spans="1:9" ht="14.25" customHeight="1"/>
    <row r="29" spans="1:9" ht="14.25" customHeight="1"/>
    <row r="30" spans="1:9" ht="14.25" customHeight="1"/>
    <row r="31" spans="1:9" ht="14.25" customHeight="1"/>
    <row r="32" spans="1:9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</sheetData>
  <sheetProtection password="CA43" sheet="1" objects="1" scenarios="1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21"/>
  <sheetViews>
    <sheetView workbookViewId="0">
      <selection activeCell="H12" sqref="H12"/>
    </sheetView>
  </sheetViews>
  <sheetFormatPr defaultRowHeight="15"/>
  <cols>
    <col min="1" max="1" width="14.5703125" customWidth="1"/>
    <col min="2" max="2" width="12.140625" customWidth="1"/>
    <col min="3" max="3" width="13.140625" customWidth="1"/>
    <col min="4" max="4" width="22.85546875" customWidth="1"/>
    <col min="5" max="6" width="26.28515625" customWidth="1"/>
    <col min="8" max="8" width="18.42578125" customWidth="1"/>
    <col min="10" max="10" width="14.85546875" customWidth="1"/>
  </cols>
  <sheetData>
    <row r="1" spans="1:10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45</v>
      </c>
      <c r="G1" s="6" t="s">
        <v>5</v>
      </c>
      <c r="H1" s="6" t="s">
        <v>6</v>
      </c>
      <c r="I1" s="7" t="s">
        <v>7</v>
      </c>
      <c r="J1" s="7" t="s">
        <v>8</v>
      </c>
    </row>
    <row r="2" spans="1:10">
      <c r="A2" s="4" t="s">
        <v>9</v>
      </c>
      <c r="B2" s="4" t="s">
        <v>10</v>
      </c>
      <c r="C2" s="4" t="s">
        <v>11</v>
      </c>
      <c r="D2" s="5">
        <v>43951.022118055553</v>
      </c>
      <c r="E2" s="4" t="s">
        <v>12</v>
      </c>
      <c r="F2" s="8" t="s">
        <v>52</v>
      </c>
      <c r="G2" s="4" t="s">
        <v>13</v>
      </c>
      <c r="H2" s="5">
        <v>43959.500162037039</v>
      </c>
      <c r="I2" s="4">
        <f t="shared" ref="I2:I21" si="0">H2-D2</f>
        <v>8.4780439814858255</v>
      </c>
      <c r="J2" s="4">
        <f t="shared" ref="J2:J21" si="1">I2*24*60</f>
        <v>12208.383333339589</v>
      </c>
    </row>
    <row r="3" spans="1:10">
      <c r="A3" s="4" t="s">
        <v>14</v>
      </c>
      <c r="B3" s="4" t="s">
        <v>10</v>
      </c>
      <c r="C3" s="4" t="s">
        <v>15</v>
      </c>
      <c r="D3" s="5">
        <v>43953.567245370374</v>
      </c>
      <c r="E3" s="4" t="s">
        <v>12</v>
      </c>
      <c r="F3" s="8" t="s">
        <v>52</v>
      </c>
      <c r="G3" s="4" t="s">
        <v>13</v>
      </c>
      <c r="H3" s="5">
        <v>43959.573807870373</v>
      </c>
      <c r="I3" s="3">
        <f t="shared" si="0"/>
        <v>6.0065624999988358</v>
      </c>
      <c r="J3" s="3">
        <f t="shared" si="1"/>
        <v>8649.4499999983236</v>
      </c>
    </row>
    <row r="4" spans="1:10">
      <c r="A4" s="4" t="s">
        <v>16</v>
      </c>
      <c r="B4" s="4" t="s">
        <v>10</v>
      </c>
      <c r="C4" s="4" t="s">
        <v>15</v>
      </c>
      <c r="D4" s="5">
        <v>43960.07472222222</v>
      </c>
      <c r="E4" s="4" t="s">
        <v>17</v>
      </c>
      <c r="F4" s="8" t="s">
        <v>52</v>
      </c>
      <c r="G4" s="4" t="s">
        <v>13</v>
      </c>
      <c r="H4" s="5">
        <v>43961.926030092596</v>
      </c>
      <c r="I4" s="3">
        <f t="shared" si="0"/>
        <v>1.8513078703763313</v>
      </c>
      <c r="J4" s="3">
        <f t="shared" si="1"/>
        <v>2665.883333341917</v>
      </c>
    </row>
    <row r="5" spans="1:10">
      <c r="A5" s="4" t="s">
        <v>18</v>
      </c>
      <c r="B5" s="4" t="s">
        <v>10</v>
      </c>
      <c r="C5" s="4" t="s">
        <v>15</v>
      </c>
      <c r="D5" s="5">
        <v>43964.088449074072</v>
      </c>
      <c r="E5" s="4" t="s">
        <v>19</v>
      </c>
      <c r="F5" s="8" t="s">
        <v>52</v>
      </c>
      <c r="G5" s="4" t="s">
        <v>13</v>
      </c>
      <c r="H5" s="5">
        <v>43964.304108796299</v>
      </c>
      <c r="I5" s="3">
        <f t="shared" si="0"/>
        <v>0.21565972222742857</v>
      </c>
      <c r="J5" s="3">
        <f t="shared" si="1"/>
        <v>310.55000000749715</v>
      </c>
    </row>
    <row r="6" spans="1:10">
      <c r="A6" s="4" t="s">
        <v>20</v>
      </c>
      <c r="B6" s="4" t="s">
        <v>10</v>
      </c>
      <c r="C6" s="4" t="s">
        <v>21</v>
      </c>
      <c r="D6" s="5">
        <v>43965.217881944445</v>
      </c>
      <c r="E6" s="4" t="s">
        <v>22</v>
      </c>
      <c r="F6" s="8" t="s">
        <v>51</v>
      </c>
      <c r="G6" s="4" t="s">
        <v>13</v>
      </c>
      <c r="H6" s="5">
        <v>43965.219837962963</v>
      </c>
      <c r="I6" s="3">
        <f t="shared" si="0"/>
        <v>1.9560185173759237E-3</v>
      </c>
      <c r="J6" s="3">
        <f t="shared" si="1"/>
        <v>2.8166666650213301</v>
      </c>
    </row>
    <row r="7" spans="1:10">
      <c r="A7" s="4" t="s">
        <v>23</v>
      </c>
      <c r="B7" s="4" t="s">
        <v>10</v>
      </c>
      <c r="C7" s="4" t="s">
        <v>21</v>
      </c>
      <c r="D7" s="5">
        <v>43965.221932870372</v>
      </c>
      <c r="E7" s="4" t="s">
        <v>22</v>
      </c>
      <c r="F7" s="8" t="s">
        <v>51</v>
      </c>
      <c r="G7" s="4" t="s">
        <v>13</v>
      </c>
      <c r="H7" s="5">
        <v>43965.225428240738</v>
      </c>
      <c r="I7" s="3">
        <f t="shared" si="0"/>
        <v>3.4953703652718104E-3</v>
      </c>
      <c r="J7" s="3">
        <f t="shared" si="1"/>
        <v>5.033333325991407</v>
      </c>
    </row>
    <row r="8" spans="1:10">
      <c r="A8" s="4" t="s">
        <v>24</v>
      </c>
      <c r="B8" s="4" t="s">
        <v>10</v>
      </c>
      <c r="C8" s="4" t="s">
        <v>15</v>
      </c>
      <c r="D8" s="5">
        <v>43965.266041666669</v>
      </c>
      <c r="E8" s="4" t="s">
        <v>22</v>
      </c>
      <c r="F8" s="8" t="s">
        <v>51</v>
      </c>
      <c r="G8" s="4" t="s">
        <v>13</v>
      </c>
      <c r="H8" s="5">
        <v>43965.267465277779</v>
      </c>
      <c r="I8" s="3">
        <f t="shared" si="0"/>
        <v>1.4236111092031933E-3</v>
      </c>
      <c r="J8" s="3">
        <f t="shared" si="1"/>
        <v>2.0499999972525984</v>
      </c>
    </row>
    <row r="9" spans="1:10">
      <c r="A9" s="4" t="s">
        <v>25</v>
      </c>
      <c r="B9" s="4" t="s">
        <v>26</v>
      </c>
      <c r="C9" s="4" t="s">
        <v>21</v>
      </c>
      <c r="D9" s="5">
        <v>43966.998645833337</v>
      </c>
      <c r="E9" s="4" t="s">
        <v>27</v>
      </c>
      <c r="F9" s="8" t="s">
        <v>52</v>
      </c>
      <c r="G9" s="4" t="s">
        <v>13</v>
      </c>
      <c r="H9" s="5">
        <v>43967.008888888886</v>
      </c>
      <c r="I9" s="3">
        <f t="shared" si="0"/>
        <v>1.024305554892635E-2</v>
      </c>
      <c r="J9" s="3">
        <f t="shared" si="1"/>
        <v>14.749999990453944</v>
      </c>
    </row>
    <row r="10" spans="1:10">
      <c r="A10" s="4" t="s">
        <v>28</v>
      </c>
      <c r="B10" s="4" t="s">
        <v>26</v>
      </c>
      <c r="C10" s="4" t="s">
        <v>21</v>
      </c>
      <c r="D10" s="5">
        <v>43967.245115740741</v>
      </c>
      <c r="E10" s="4" t="s">
        <v>27</v>
      </c>
      <c r="F10" s="8" t="s">
        <v>52</v>
      </c>
      <c r="G10" s="4" t="s">
        <v>13</v>
      </c>
      <c r="H10" s="5">
        <v>43967.252118055556</v>
      </c>
      <c r="I10" s="3">
        <f t="shared" si="0"/>
        <v>7.0023148145992309E-3</v>
      </c>
      <c r="J10" s="3">
        <f t="shared" si="1"/>
        <v>10.083333333022892</v>
      </c>
    </row>
    <row r="11" spans="1:10">
      <c r="A11" s="4" t="s">
        <v>29</v>
      </c>
      <c r="B11" s="4" t="s">
        <v>26</v>
      </c>
      <c r="C11" s="4" t="s">
        <v>21</v>
      </c>
      <c r="D11" s="5">
        <v>43967.245115740741</v>
      </c>
      <c r="E11" s="4" t="s">
        <v>27</v>
      </c>
      <c r="F11" s="8" t="s">
        <v>52</v>
      </c>
      <c r="G11" s="4" t="s">
        <v>13</v>
      </c>
      <c r="H11" s="5">
        <v>43967.252291666664</v>
      </c>
      <c r="I11" s="3">
        <f t="shared" si="0"/>
        <v>7.175925922638271E-3</v>
      </c>
      <c r="J11" s="3">
        <f t="shared" si="1"/>
        <v>10.33333332859911</v>
      </c>
    </row>
    <row r="12" spans="1:10">
      <c r="A12" s="4" t="s">
        <v>30</v>
      </c>
      <c r="B12" s="4" t="s">
        <v>26</v>
      </c>
      <c r="C12" s="4" t="s">
        <v>21</v>
      </c>
      <c r="D12" s="5">
        <v>43967.244780092595</v>
      </c>
      <c r="E12" s="4" t="s">
        <v>27</v>
      </c>
      <c r="F12" s="8" t="s">
        <v>52</v>
      </c>
      <c r="G12" s="4" t="s">
        <v>13</v>
      </c>
      <c r="H12" s="5">
        <v>43967.251979166664</v>
      </c>
      <c r="I12" s="3">
        <f t="shared" si="0"/>
        <v>7.1990740689216182E-3</v>
      </c>
      <c r="J12" s="3">
        <f t="shared" si="1"/>
        <v>10.36666665924713</v>
      </c>
    </row>
    <row r="13" spans="1:10">
      <c r="A13" s="4" t="s">
        <v>31</v>
      </c>
      <c r="B13" s="4" t="s">
        <v>26</v>
      </c>
      <c r="C13" s="4" t="s">
        <v>21</v>
      </c>
      <c r="D13" s="5">
        <v>43967.245243055557</v>
      </c>
      <c r="E13" s="4" t="s">
        <v>22</v>
      </c>
      <c r="F13" s="8" t="s">
        <v>51</v>
      </c>
      <c r="G13" s="4" t="s">
        <v>13</v>
      </c>
      <c r="H13" s="5">
        <v>43967.247523148151</v>
      </c>
      <c r="I13" s="3">
        <f t="shared" si="0"/>
        <v>2.2800925944466144E-3</v>
      </c>
      <c r="J13" s="3">
        <f t="shared" si="1"/>
        <v>3.2833333360031247</v>
      </c>
    </row>
    <row r="14" spans="1:10">
      <c r="A14" s="4" t="s">
        <v>32</v>
      </c>
      <c r="B14" s="4" t="s">
        <v>26</v>
      </c>
      <c r="C14" s="4" t="s">
        <v>21</v>
      </c>
      <c r="D14" s="5">
        <v>43967.245057870372</v>
      </c>
      <c r="E14" s="4" t="s">
        <v>27</v>
      </c>
      <c r="F14" s="8" t="s">
        <v>52</v>
      </c>
      <c r="G14" s="4" t="s">
        <v>13</v>
      </c>
      <c r="H14" s="5">
        <v>43967.251770833333</v>
      </c>
      <c r="I14" s="3">
        <f t="shared" si="0"/>
        <v>6.7129629605915397E-3</v>
      </c>
      <c r="J14" s="3">
        <f t="shared" si="1"/>
        <v>9.6666666632518172</v>
      </c>
    </row>
    <row r="15" spans="1:10">
      <c r="A15" s="4" t="s">
        <v>33</v>
      </c>
      <c r="B15" s="4" t="s">
        <v>26</v>
      </c>
      <c r="C15" s="4" t="s">
        <v>15</v>
      </c>
      <c r="D15" s="5">
        <v>43968.336770833332</v>
      </c>
      <c r="E15" s="4" t="s">
        <v>22</v>
      </c>
      <c r="F15" s="8" t="s">
        <v>51</v>
      </c>
      <c r="G15" s="4" t="s">
        <v>13</v>
      </c>
      <c r="H15" s="5">
        <v>43968.350208333337</v>
      </c>
      <c r="I15" s="3">
        <f t="shared" si="0"/>
        <v>1.3437500005238689E-2</v>
      </c>
      <c r="J15" s="3">
        <f t="shared" si="1"/>
        <v>19.350000007543713</v>
      </c>
    </row>
    <row r="16" spans="1:10">
      <c r="A16" s="4" t="s">
        <v>34</v>
      </c>
      <c r="B16" s="4" t="s">
        <v>35</v>
      </c>
      <c r="C16" s="4" t="s">
        <v>11</v>
      </c>
      <c r="D16" s="5">
        <v>43962.572129629632</v>
      </c>
      <c r="E16" s="4" t="s">
        <v>36</v>
      </c>
      <c r="F16" s="8" t="s">
        <v>52</v>
      </c>
      <c r="G16" s="4" t="s">
        <v>13</v>
      </c>
      <c r="H16" s="5">
        <v>43962.750324074077</v>
      </c>
      <c r="I16" s="3">
        <f t="shared" si="0"/>
        <v>0.17819444444467081</v>
      </c>
      <c r="J16" s="3">
        <f t="shared" si="1"/>
        <v>256.60000000032596</v>
      </c>
    </row>
    <row r="17" spans="1:10">
      <c r="A17" s="4" t="s">
        <v>37</v>
      </c>
      <c r="B17" s="4" t="s">
        <v>35</v>
      </c>
      <c r="C17" s="4" t="s">
        <v>11</v>
      </c>
      <c r="D17" s="5">
        <v>43962.562442129631</v>
      </c>
      <c r="E17" s="4" t="s">
        <v>19</v>
      </c>
      <c r="F17" s="8" t="s">
        <v>52</v>
      </c>
      <c r="G17" s="4" t="s">
        <v>13</v>
      </c>
      <c r="H17" s="5">
        <v>43964.349027777775</v>
      </c>
      <c r="I17" s="3">
        <f t="shared" si="0"/>
        <v>1.786585648143955</v>
      </c>
      <c r="J17" s="3">
        <f t="shared" si="1"/>
        <v>2572.6833333272953</v>
      </c>
    </row>
    <row r="18" spans="1:10">
      <c r="A18" s="4" t="s">
        <v>38</v>
      </c>
      <c r="B18" s="4" t="s">
        <v>35</v>
      </c>
      <c r="C18" s="4" t="s">
        <v>11</v>
      </c>
      <c r="D18" s="5">
        <v>43962.572094907409</v>
      </c>
      <c r="E18" s="4" t="s">
        <v>36</v>
      </c>
      <c r="F18" s="8" t="s">
        <v>52</v>
      </c>
      <c r="G18" s="4" t="s">
        <v>13</v>
      </c>
      <c r="H18" s="5">
        <v>43962.754930555559</v>
      </c>
      <c r="I18" s="3">
        <f t="shared" si="0"/>
        <v>0.18283564814919373</v>
      </c>
      <c r="J18" s="3">
        <f t="shared" si="1"/>
        <v>263.28333333483897</v>
      </c>
    </row>
    <row r="19" spans="1:10">
      <c r="A19" s="4" t="s">
        <v>39</v>
      </c>
      <c r="B19" s="4" t="s">
        <v>35</v>
      </c>
      <c r="C19" s="4" t="s">
        <v>11</v>
      </c>
      <c r="D19" s="5">
        <v>43963.014490740738</v>
      </c>
      <c r="E19" s="4" t="s">
        <v>19</v>
      </c>
      <c r="F19" s="8" t="s">
        <v>52</v>
      </c>
      <c r="G19" s="4" t="s">
        <v>13</v>
      </c>
      <c r="H19" s="5">
        <v>43963.315335648149</v>
      </c>
      <c r="I19" s="3">
        <f t="shared" si="0"/>
        <v>0.30084490741137415</v>
      </c>
      <c r="J19" s="3">
        <f t="shared" si="1"/>
        <v>433.21666667237878</v>
      </c>
    </row>
    <row r="20" spans="1:10">
      <c r="A20" s="4" t="s">
        <v>40</v>
      </c>
      <c r="B20" s="4" t="s">
        <v>35</v>
      </c>
      <c r="C20" s="4" t="s">
        <v>11</v>
      </c>
      <c r="D20" s="5">
        <v>43966.547800925924</v>
      </c>
      <c r="E20" s="4" t="s">
        <v>41</v>
      </c>
      <c r="F20" s="8" t="s">
        <v>52</v>
      </c>
      <c r="G20" s="4" t="s">
        <v>13</v>
      </c>
      <c r="H20" s="5">
        <v>43966.572175925925</v>
      </c>
      <c r="I20" s="3">
        <f t="shared" si="0"/>
        <v>2.4375000000873115E-2</v>
      </c>
      <c r="J20" s="3">
        <f t="shared" si="1"/>
        <v>35.100000001257285</v>
      </c>
    </row>
    <row r="21" spans="1:10">
      <c r="A21" s="4" t="s">
        <v>42</v>
      </c>
      <c r="B21" s="4" t="s">
        <v>35</v>
      </c>
      <c r="C21" s="4" t="s">
        <v>11</v>
      </c>
      <c r="D21" s="5">
        <v>43968.045011574075</v>
      </c>
      <c r="E21" s="4" t="s">
        <v>43</v>
      </c>
      <c r="F21" s="8" t="s">
        <v>51</v>
      </c>
      <c r="G21" s="4" t="s">
        <v>13</v>
      </c>
      <c r="H21" s="5">
        <v>43968.555983796294</v>
      </c>
      <c r="I21" s="3">
        <f t="shared" si="0"/>
        <v>0.51097222221869742</v>
      </c>
      <c r="J21" s="3">
        <f t="shared" si="1"/>
        <v>735.79999999492429</v>
      </c>
    </row>
  </sheetData>
  <sheetProtection sheet="1" objects="1" scenarios="1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U7"/>
  <sheetViews>
    <sheetView workbookViewId="0">
      <selection activeCell="K6" sqref="K6"/>
    </sheetView>
  </sheetViews>
  <sheetFormatPr defaultRowHeight="15"/>
  <cols>
    <col min="18" max="18" width="12.42578125" customWidth="1"/>
    <col min="19" max="19" width="12.85546875" customWidth="1"/>
  </cols>
  <sheetData>
    <row r="1" spans="2:21">
      <c r="B1" s="11" t="s">
        <v>44</v>
      </c>
      <c r="C1" s="12"/>
      <c r="D1" s="12"/>
      <c r="E1" s="12"/>
      <c r="F1" s="12"/>
      <c r="I1" s="11" t="s">
        <v>46</v>
      </c>
      <c r="J1" s="12"/>
      <c r="K1" s="12"/>
      <c r="L1" s="12"/>
      <c r="M1" s="12"/>
      <c r="Q1" s="11" t="s">
        <v>47</v>
      </c>
      <c r="R1" s="12"/>
      <c r="S1" s="12"/>
      <c r="T1" s="12"/>
      <c r="U1" s="12"/>
    </row>
    <row r="3" spans="2:21">
      <c r="Q3" s="4"/>
      <c r="R3" s="8" t="s">
        <v>49</v>
      </c>
      <c r="S3" s="4"/>
    </row>
    <row r="4" spans="2:21">
      <c r="D4" s="8" t="s">
        <v>48</v>
      </c>
      <c r="J4" s="13" t="s">
        <v>49</v>
      </c>
      <c r="K4" s="14"/>
      <c r="Q4" s="13" t="s">
        <v>50</v>
      </c>
      <c r="R4" s="14"/>
      <c r="S4" s="8" t="s">
        <v>51</v>
      </c>
    </row>
    <row r="5" spans="2:21">
      <c r="D5" s="4">
        <f>AVERAGE('Report Format'!J2:J21)</f>
        <v>1410.9341666662367</v>
      </c>
      <c r="J5" s="8" t="s">
        <v>10</v>
      </c>
      <c r="K5" s="9">
        <f>AVERAGEIFS('Report Format'!J2:J21,'Report Format'!B2:B21,"AIM")</f>
        <v>3406.309523810799</v>
      </c>
      <c r="Q5" s="8" t="s">
        <v>10</v>
      </c>
      <c r="R5" s="10">
        <f>AVERAGEIFS('Report Format'!J2:J21,'Report Format'!B2:B21,"AIM",'Report Format'!F2:F21,"Human")</f>
        <v>5958.5666666718316</v>
      </c>
      <c r="S5" s="10">
        <f>AVERAGEIFS('Report Format'!J2:J21,'Report Format'!B2:B21,"AIM",'Report Format'!F2:F21,"Automation")</f>
        <v>3.2999999960884452</v>
      </c>
    </row>
    <row r="6" spans="2:21">
      <c r="J6" s="8" t="s">
        <v>26</v>
      </c>
      <c r="K6" s="9">
        <f>AVERAGEIFS('Report Format'!J2:J21,'Report Format'!B2:B21,"BNTP")</f>
        <v>11.119047616874534</v>
      </c>
      <c r="Q6" s="8" t="s">
        <v>26</v>
      </c>
      <c r="R6" s="10">
        <f>AVERAGEIFS('Report Format'!J2:J21,'Report Format'!B2:B21,"BNTP",'Report Format'!F2:F21,"Human")</f>
        <v>11.039999994914979</v>
      </c>
      <c r="S6" s="10">
        <f>AVERAGEIFS('Report Format'!J2:J21,'Report Format'!B2:B21,"BNTP",'Report Format'!F2:F21,"Automation")</f>
        <v>11.316666671773419</v>
      </c>
    </row>
    <row r="7" spans="2:21">
      <c r="J7" s="8" t="s">
        <v>35</v>
      </c>
      <c r="K7" s="9">
        <f>AVERAGEIFS('Report Format'!J2:J21,'Report Format'!B2:B21,"AONUK")</f>
        <v>716.11388888850342</v>
      </c>
      <c r="Q7" s="8" t="s">
        <v>35</v>
      </c>
      <c r="R7" s="10">
        <f>AVERAGEIFS('Report Format'!J2:J21,'Report Format'!B2:B21,"AONUK",'Report Format'!F2:F21,"Human")</f>
        <v>712.17666666721925</v>
      </c>
      <c r="S7" s="10">
        <f>AVERAGEIFS('Report Format'!J2:J21,'Report Format'!B2:B21,"AONUK",'Report Format'!F2:F21,"Automation")</f>
        <v>735.79999999492429</v>
      </c>
    </row>
  </sheetData>
  <sheetProtection sheet="1" objects="1" scenarios="1"/>
  <mergeCells count="5">
    <mergeCell ref="B1:F1"/>
    <mergeCell ref="I1:M1"/>
    <mergeCell ref="Q1:U1"/>
    <mergeCell ref="J4:K4"/>
    <mergeCell ref="Q4:R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Closed Incidents_Raw</vt:lpstr>
      <vt:lpstr>Report Format</vt:lpstr>
      <vt:lpstr>AvgCalculation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Sharma, Diwakar</dc:creator>
  <cp:lastModifiedBy>ANDREWS HIMA KIRAN</cp:lastModifiedBy>
  <dcterms:created xsi:type="dcterms:W3CDTF">2018-11-08T07:04:14Z</dcterms:created>
  <dcterms:modified xsi:type="dcterms:W3CDTF">2020-11-12T05:59:51Z</dcterms:modified>
</cp:coreProperties>
</file>